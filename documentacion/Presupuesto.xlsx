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abia\Downloads\PROYECTO\P2\"/>
    </mc:Choice>
  </mc:AlternateContent>
  <xr:revisionPtr revIDLastSave="0" documentId="13_ncr:1_{4E598A03-F43A-483D-9A5A-4ABDEEFF6B6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F34" i="1" s="1"/>
  <c r="F22" i="1"/>
  <c r="F33" i="1" s="1"/>
  <c r="F9" i="1"/>
  <c r="F8" i="1"/>
  <c r="F10" i="1" s="1"/>
  <c r="F32" i="1" s="1"/>
  <c r="F7" i="1"/>
  <c r="F35" i="1" l="1"/>
  <c r="F36" i="1" l="1"/>
  <c r="F37" i="1" s="1"/>
</calcChain>
</file>

<file path=xl/sharedStrings.xml><?xml version="1.0" encoding="utf-8"?>
<sst xmlns="http://schemas.openxmlformats.org/spreadsheetml/2006/main" count="115" uniqueCount="96">
  <si>
    <t>PRESUPUESTO DEL PROYECTO</t>
  </si>
  <si>
    <t>Sitio Web – Karina Benavides | Contadora Pública  |  TalentoTech – Desarrollo Web</t>
  </si>
  <si>
    <t>1. RECURSOS HUMANOS</t>
  </si>
  <si>
    <t>INTEGRANTE</t>
  </si>
  <si>
    <t>ROL</t>
  </si>
  <si>
    <t>TARIFA/HORA (COP)</t>
  </si>
  <si>
    <t>HORAS ESTIMADAS</t>
  </si>
  <si>
    <t>DÍAS TRABAJO</t>
  </si>
  <si>
    <t>TOTAL (COP)</t>
  </si>
  <si>
    <t>NOTAS</t>
  </si>
  <si>
    <t>Fabio Andrés Fuentes</t>
  </si>
  <si>
    <t>Gerente / Desarrollador</t>
  </si>
  <si>
    <t>Dirección, HTML, coordinación</t>
  </si>
  <si>
    <t>Desarrollador Frontend</t>
  </si>
  <si>
    <t>CSS, Bootstrap, responsividad</t>
  </si>
  <si>
    <t>Juan Camilo Vera</t>
  </si>
  <si>
    <t>JavaScript, formulario, pruebas</t>
  </si>
  <si>
    <t>SUBTOTAL RECURSOS HUMANOS</t>
  </si>
  <si>
    <t>2. HERRAMIENTAS, SOFTWARE Y TECNOLOGÍA</t>
  </si>
  <si>
    <t>HERRAMIENTA / SERVICIO</t>
  </si>
  <si>
    <t>DESCRIPCIÓN</t>
  </si>
  <si>
    <t>TIPO</t>
  </si>
  <si>
    <t>PROVEEDOR</t>
  </si>
  <si>
    <t>LICENCIA</t>
  </si>
  <si>
    <t>COSTO (COP)</t>
  </si>
  <si>
    <t>Visual Studio Code</t>
  </si>
  <si>
    <t>Editor de código principal</t>
  </si>
  <si>
    <t>Software</t>
  </si>
  <si>
    <t>Microsoft</t>
  </si>
  <si>
    <t>Gratuita</t>
  </si>
  <si>
    <t>code.visualstudio.com</t>
  </si>
  <si>
    <t>Bootstrap 5 (CDN)</t>
  </si>
  <si>
    <t>Framework CSS responsivo</t>
  </si>
  <si>
    <t>Framework</t>
  </si>
  <si>
    <t>Bootstrap</t>
  </si>
  <si>
    <t>MIT (Gratuita)</t>
  </si>
  <si>
    <t>cdn.jsdelivr.net</t>
  </si>
  <si>
    <t>Google Fonts</t>
  </si>
  <si>
    <t>Tipografía Public Sans</t>
  </si>
  <si>
    <t>Fuente web</t>
  </si>
  <si>
    <t>Google</t>
  </si>
  <si>
    <t>fonts.google.com</t>
  </si>
  <si>
    <t>GitHub</t>
  </si>
  <si>
    <t>Control de versiones y repositorio</t>
  </si>
  <si>
    <t>Servicio</t>
  </si>
  <si>
    <t>Gratuita (public)</t>
  </si>
  <si>
    <t>github.com</t>
  </si>
  <si>
    <t>Unsplash (imágenes)</t>
  </si>
  <si>
    <t>Imágenes profesionales libres de derechos</t>
  </si>
  <si>
    <t>Recurso</t>
  </si>
  <si>
    <t>Unsplash</t>
  </si>
  <si>
    <t>unsplash.com</t>
  </si>
  <si>
    <t>Chrome DevTools</t>
  </si>
  <si>
    <t>Pruebas de responsividad y rendimiento</t>
  </si>
  <si>
    <t>Integrado en Chrome</t>
  </si>
  <si>
    <t>W3C Validator</t>
  </si>
  <si>
    <t>Validación de HTML5</t>
  </si>
  <si>
    <t>Servicio web</t>
  </si>
  <si>
    <t>W3C</t>
  </si>
  <si>
    <t>validator.w3.org</t>
  </si>
  <si>
    <t>Google Lighthouse</t>
  </si>
  <si>
    <t>Auditoría de rendimiento y SEO</t>
  </si>
  <si>
    <t>Herramienta</t>
  </si>
  <si>
    <t>SUBTOTAL HERRAMIENTAS Y SOFTWARE</t>
  </si>
  <si>
    <t>3. INFRAESTRUCTURA Y DESPLIEGUE (ESTIMADO PRIMER AÑO)</t>
  </si>
  <si>
    <t>CONCEPTO</t>
  </si>
  <si>
    <t>PROVEEDOR SUGERIDO</t>
  </si>
  <si>
    <t>PERÍODO</t>
  </si>
  <si>
    <t>UNIDADES</t>
  </si>
  <si>
    <t>Dominio (.com.co)</t>
  </si>
  <si>
    <t>Registro de dominio profesional</t>
  </si>
  <si>
    <t>Anual</t>
  </si>
  <si>
    <t>karinabenavides.com.co</t>
  </si>
  <si>
    <t>Hosting web (básico)</t>
  </si>
  <si>
    <t>Alojamiento web estático</t>
  </si>
  <si>
    <t>Plan básico compartido</t>
  </si>
  <si>
    <t>SSL (HTTPS)</t>
  </si>
  <si>
    <t>Certificado de seguridad</t>
  </si>
  <si>
    <t>Generalmente incluido en hosting</t>
  </si>
  <si>
    <t>SUBTOTAL INFRAESTRUCTURA</t>
  </si>
  <si>
    <t>RESUMEN PRESUPUESTAL</t>
  </si>
  <si>
    <t>Recursos Humanos (desarrollo)</t>
  </si>
  <si>
    <t>Herramientas y Software</t>
  </si>
  <si>
    <t>Infraestructura y Despliegue</t>
  </si>
  <si>
    <t>Subtotal sin imprevistos</t>
  </si>
  <si>
    <t>Imprevistos (10% sobre subtotal)</t>
  </si>
  <si>
    <t>TOTAL PRESUPUESTO DEL PROYECTO</t>
  </si>
  <si>
    <t>NOTAS Y ACLARACIONES:</t>
  </si>
  <si>
    <t>* Todas las herramientas y frameworks utilizados son gratuitos y de código abierto, por lo que el costo de software es $0.</t>
  </si>
  <si>
    <t>* Las tarifas de recursos humanos son estimadas con base en el mercado laboral de desarrolladores junior en Colombia (2026).</t>
  </si>
  <si>
    <t>* El costo de hosting e infraestructura es una estimación para el primer año de operación del sitio web.</t>
  </si>
  <si>
    <t>* Los valores en COP (Pesos Colombianos) son estimaciones y pueden variar según el proveedor seleccionado.</t>
  </si>
  <si>
    <t>* El presupuesto no incluye gastos de marketing, publicidad ni servicios de redacción de contenidos.</t>
  </si>
  <si>
    <t>Equipo: Fabio Andrés Fuentes  |  Johan Cerón  |  Juan Camilo Vera       Período: 03/03/2026 – 14/03/2026</t>
  </si>
  <si>
    <t>Johan Cerón</t>
  </si>
  <si>
    <t>Hostinger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</si>
</sst>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444444"/>
      <name val="Arial"/>
    </font>
    <font>
      <sz val="10"/>
      <color rgb="FF555555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  <font>
      <b/>
      <sz val="13"/>
      <color rgb="FFFFFFFF"/>
      <name val="Arial"/>
    </font>
    <font>
      <sz val="11"/>
      <name val="Arial"/>
    </font>
    <font>
      <b/>
      <sz val="10"/>
      <name val="Arial"/>
    </font>
    <font>
      <i/>
      <sz val="9"/>
      <color rgb="FF555555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AFAF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164" fontId="6" fillId="6" borderId="1" xfId="0" applyNumberFormat="1" applyFont="1" applyFill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/>
    <xf numFmtId="164" fontId="9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164" fontId="8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/>
    <xf numFmtId="0" fontId="10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9" fillId="5" borderId="1" xfId="0" applyFont="1" applyFill="1" applyBorder="1" applyAlignment="1">
      <alignment horizontal="left" vertical="center" wrapText="1"/>
    </xf>
    <xf numFmtId="0" fontId="11" fillId="0" borderId="0" xfId="0" applyFont="1"/>
    <xf numFmtId="0" fontId="7" fillId="3" borderId="1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topLeftCell="A14" workbookViewId="0">
      <selection activeCell="A44" sqref="A44:G44"/>
    </sheetView>
  </sheetViews>
  <sheetFormatPr baseColWidth="10" defaultColWidth="9.140625" defaultRowHeight="15" x14ac:dyDescent="0.25"/>
  <cols>
    <col min="1" max="1" width="35" customWidth="1"/>
    <col min="2" max="2" width="30" customWidth="1"/>
    <col min="3" max="3" width="22" customWidth="1"/>
    <col min="4" max="4" width="16" customWidth="1"/>
    <col min="5" max="5" width="16.28515625" customWidth="1"/>
    <col min="6" max="6" width="16" customWidth="1"/>
    <col min="7" max="7" width="28" customWidth="1"/>
  </cols>
  <sheetData>
    <row r="1" spans="1:7" ht="35.1" customHeight="1" x14ac:dyDescent="0.25">
      <c r="A1" s="17" t="s">
        <v>0</v>
      </c>
      <c r="B1" s="18"/>
      <c r="C1" s="18"/>
      <c r="D1" s="18"/>
      <c r="E1" s="18"/>
      <c r="F1" s="18"/>
      <c r="G1" s="18"/>
    </row>
    <row r="2" spans="1:7" ht="21.95" customHeight="1" x14ac:dyDescent="0.25">
      <c r="A2" s="25" t="s">
        <v>1</v>
      </c>
      <c r="B2" s="18"/>
      <c r="C2" s="18"/>
      <c r="D2" s="18"/>
      <c r="E2" s="18"/>
      <c r="F2" s="18"/>
      <c r="G2" s="18"/>
    </row>
    <row r="3" spans="1:7" ht="20.100000000000001" customHeight="1" x14ac:dyDescent="0.25">
      <c r="A3" s="23" t="s">
        <v>93</v>
      </c>
      <c r="B3" s="18"/>
      <c r="C3" s="18"/>
      <c r="D3" s="18"/>
      <c r="E3" s="18"/>
      <c r="F3" s="18"/>
      <c r="G3" s="18"/>
    </row>
    <row r="4" spans="1:7" ht="9.9499999999999993" customHeight="1" x14ac:dyDescent="0.25"/>
    <row r="5" spans="1:7" ht="24" customHeight="1" x14ac:dyDescent="0.25">
      <c r="A5" s="24" t="s">
        <v>2</v>
      </c>
      <c r="B5" s="18"/>
      <c r="C5" s="18"/>
      <c r="D5" s="18"/>
      <c r="E5" s="18"/>
      <c r="F5" s="18"/>
      <c r="G5" s="18"/>
    </row>
    <row r="6" spans="1:7" ht="30" x14ac:dyDescent="0.25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</row>
    <row r="7" spans="1:7" x14ac:dyDescent="0.25">
      <c r="A7" s="2" t="s">
        <v>10</v>
      </c>
      <c r="B7" s="2" t="s">
        <v>11</v>
      </c>
      <c r="C7" s="3">
        <v>15000</v>
      </c>
      <c r="D7" s="4">
        <v>40</v>
      </c>
      <c r="E7" s="4">
        <v>10</v>
      </c>
      <c r="F7" s="3">
        <f>C7*D7</f>
        <v>600000</v>
      </c>
      <c r="G7" s="2" t="s">
        <v>12</v>
      </c>
    </row>
    <row r="8" spans="1:7" x14ac:dyDescent="0.25">
      <c r="A8" s="2" t="s">
        <v>94</v>
      </c>
      <c r="B8" s="2" t="s">
        <v>13</v>
      </c>
      <c r="C8" s="3">
        <v>12000</v>
      </c>
      <c r="D8" s="4">
        <v>40</v>
      </c>
      <c r="E8" s="4">
        <v>10</v>
      </c>
      <c r="F8" s="3">
        <f>C8*D8</f>
        <v>480000</v>
      </c>
      <c r="G8" s="2" t="s">
        <v>14</v>
      </c>
    </row>
    <row r="9" spans="1:7" x14ac:dyDescent="0.25">
      <c r="A9" s="2" t="s">
        <v>15</v>
      </c>
      <c r="B9" s="2" t="s">
        <v>13</v>
      </c>
      <c r="C9" s="3">
        <v>12000</v>
      </c>
      <c r="D9" s="4">
        <v>40</v>
      </c>
      <c r="E9" s="4">
        <v>10</v>
      </c>
      <c r="F9" s="3">
        <f>C9*D9</f>
        <v>480000</v>
      </c>
      <c r="G9" s="2" t="s">
        <v>16</v>
      </c>
    </row>
    <row r="10" spans="1:7" x14ac:dyDescent="0.25">
      <c r="A10" s="21" t="s">
        <v>17</v>
      </c>
      <c r="B10" s="18"/>
      <c r="C10" s="18"/>
      <c r="D10" s="18"/>
      <c r="E10" s="18"/>
      <c r="F10" s="5">
        <f>SUM(F8:F9)</f>
        <v>960000</v>
      </c>
      <c r="G10" s="6"/>
    </row>
    <row r="12" spans="1:7" ht="24" customHeight="1" x14ac:dyDescent="0.25">
      <c r="A12" s="24" t="s">
        <v>18</v>
      </c>
      <c r="B12" s="18"/>
      <c r="C12" s="18"/>
      <c r="D12" s="18"/>
      <c r="E12" s="18"/>
      <c r="F12" s="18"/>
      <c r="G12" s="18"/>
    </row>
    <row r="13" spans="1:7" ht="24.95" customHeight="1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s">
        <v>24</v>
      </c>
      <c r="G13" s="1" t="s">
        <v>9</v>
      </c>
    </row>
    <row r="14" spans="1:7" x14ac:dyDescent="0.25">
      <c r="A14" s="2" t="s">
        <v>25</v>
      </c>
      <c r="B14" s="2" t="s">
        <v>26</v>
      </c>
      <c r="C14" s="4" t="s">
        <v>27</v>
      </c>
      <c r="D14" s="4" t="s">
        <v>28</v>
      </c>
      <c r="E14" s="4" t="s">
        <v>29</v>
      </c>
      <c r="F14" s="3">
        <v>0</v>
      </c>
      <c r="G14" s="2" t="s">
        <v>30</v>
      </c>
    </row>
    <row r="15" spans="1:7" x14ac:dyDescent="0.25">
      <c r="A15" s="7" t="s">
        <v>31</v>
      </c>
      <c r="B15" s="7" t="s">
        <v>32</v>
      </c>
      <c r="C15" s="8" t="s">
        <v>33</v>
      </c>
      <c r="D15" s="8" t="s">
        <v>34</v>
      </c>
      <c r="E15" s="8" t="s">
        <v>35</v>
      </c>
      <c r="F15" s="9">
        <v>0</v>
      </c>
      <c r="G15" s="7" t="s">
        <v>36</v>
      </c>
    </row>
    <row r="16" spans="1:7" x14ac:dyDescent="0.25">
      <c r="A16" s="2" t="s">
        <v>37</v>
      </c>
      <c r="B16" s="2" t="s">
        <v>38</v>
      </c>
      <c r="C16" s="4" t="s">
        <v>39</v>
      </c>
      <c r="D16" s="4" t="s">
        <v>40</v>
      </c>
      <c r="E16" s="4" t="s">
        <v>29</v>
      </c>
      <c r="F16" s="3">
        <v>0</v>
      </c>
      <c r="G16" s="2" t="s">
        <v>41</v>
      </c>
    </row>
    <row r="17" spans="1:7" ht="25.5" x14ac:dyDescent="0.25">
      <c r="A17" s="7" t="s">
        <v>42</v>
      </c>
      <c r="B17" s="7" t="s">
        <v>43</v>
      </c>
      <c r="C17" s="8" t="s">
        <v>44</v>
      </c>
      <c r="D17" s="8" t="s">
        <v>42</v>
      </c>
      <c r="E17" s="8" t="s">
        <v>45</v>
      </c>
      <c r="F17" s="9">
        <v>0</v>
      </c>
      <c r="G17" s="7" t="s">
        <v>46</v>
      </c>
    </row>
    <row r="18" spans="1:7" ht="25.5" x14ac:dyDescent="0.25">
      <c r="A18" s="2" t="s">
        <v>47</v>
      </c>
      <c r="B18" s="2" t="s">
        <v>48</v>
      </c>
      <c r="C18" s="4" t="s">
        <v>49</v>
      </c>
      <c r="D18" s="4" t="s">
        <v>50</v>
      </c>
      <c r="E18" s="4" t="s">
        <v>29</v>
      </c>
      <c r="F18" s="3">
        <v>0</v>
      </c>
      <c r="G18" s="2" t="s">
        <v>51</v>
      </c>
    </row>
    <row r="19" spans="1:7" ht="25.5" x14ac:dyDescent="0.25">
      <c r="A19" s="7" t="s">
        <v>52</v>
      </c>
      <c r="B19" s="7" t="s">
        <v>53</v>
      </c>
      <c r="C19" s="8" t="s">
        <v>27</v>
      </c>
      <c r="D19" s="8" t="s">
        <v>40</v>
      </c>
      <c r="E19" s="8" t="s">
        <v>29</v>
      </c>
      <c r="F19" s="9">
        <v>0</v>
      </c>
      <c r="G19" s="7" t="s">
        <v>54</v>
      </c>
    </row>
    <row r="20" spans="1:7" x14ac:dyDescent="0.25">
      <c r="A20" s="2" t="s">
        <v>55</v>
      </c>
      <c r="B20" s="2" t="s">
        <v>56</v>
      </c>
      <c r="C20" s="4" t="s">
        <v>57</v>
      </c>
      <c r="D20" s="4" t="s">
        <v>58</v>
      </c>
      <c r="E20" s="4" t="s">
        <v>29</v>
      </c>
      <c r="F20" s="3">
        <v>0</v>
      </c>
      <c r="G20" s="2" t="s">
        <v>59</v>
      </c>
    </row>
    <row r="21" spans="1:7" x14ac:dyDescent="0.25">
      <c r="A21" s="7" t="s">
        <v>60</v>
      </c>
      <c r="B21" s="7" t="s">
        <v>61</v>
      </c>
      <c r="C21" s="8" t="s">
        <v>62</v>
      </c>
      <c r="D21" s="8" t="s">
        <v>40</v>
      </c>
      <c r="E21" s="8" t="s">
        <v>29</v>
      </c>
      <c r="F21" s="9">
        <v>0</v>
      </c>
      <c r="G21" s="7" t="s">
        <v>54</v>
      </c>
    </row>
    <row r="22" spans="1:7" x14ac:dyDescent="0.25">
      <c r="A22" s="21" t="s">
        <v>63</v>
      </c>
      <c r="B22" s="18"/>
      <c r="C22" s="18"/>
      <c r="D22" s="18"/>
      <c r="E22" s="18"/>
      <c r="F22" s="5">
        <f>SUM(F14:F21)</f>
        <v>0</v>
      </c>
      <c r="G22" s="6"/>
    </row>
    <row r="24" spans="1:7" ht="24" customHeight="1" x14ac:dyDescent="0.25">
      <c r="A24" s="24" t="s">
        <v>64</v>
      </c>
      <c r="B24" s="18"/>
      <c r="C24" s="18"/>
      <c r="D24" s="18"/>
      <c r="E24" s="18"/>
      <c r="F24" s="18"/>
      <c r="G24" s="18"/>
    </row>
    <row r="25" spans="1:7" ht="24.95" customHeight="1" x14ac:dyDescent="0.25">
      <c r="A25" s="1" t="s">
        <v>65</v>
      </c>
      <c r="B25" s="1" t="s">
        <v>20</v>
      </c>
      <c r="C25" s="1" t="s">
        <v>66</v>
      </c>
      <c r="D25" s="1" t="s">
        <v>67</v>
      </c>
      <c r="E25" s="1" t="s">
        <v>68</v>
      </c>
      <c r="F25" s="1" t="s">
        <v>24</v>
      </c>
      <c r="G25" s="1" t="s">
        <v>9</v>
      </c>
    </row>
    <row r="26" spans="1:7" x14ac:dyDescent="0.25">
      <c r="A26" s="2" t="s">
        <v>69</v>
      </c>
      <c r="B26" s="2" t="s">
        <v>70</v>
      </c>
      <c r="C26" s="7" t="s">
        <v>95</v>
      </c>
      <c r="D26" s="4" t="s">
        <v>71</v>
      </c>
      <c r="E26" s="4">
        <v>1</v>
      </c>
      <c r="F26" s="3">
        <v>80000</v>
      </c>
      <c r="G26" s="2" t="s">
        <v>72</v>
      </c>
    </row>
    <row r="27" spans="1:7" x14ac:dyDescent="0.25">
      <c r="A27" s="7" t="s">
        <v>73</v>
      </c>
      <c r="B27" s="7" t="s">
        <v>74</v>
      </c>
      <c r="C27" s="7" t="s">
        <v>95</v>
      </c>
      <c r="D27" s="8" t="s">
        <v>71</v>
      </c>
      <c r="E27" s="8">
        <v>1</v>
      </c>
      <c r="F27" s="9">
        <v>120000</v>
      </c>
      <c r="G27" s="7" t="s">
        <v>75</v>
      </c>
    </row>
    <row r="28" spans="1:7" ht="25.5" x14ac:dyDescent="0.25">
      <c r="A28" s="2" t="s">
        <v>76</v>
      </c>
      <c r="B28" s="2" t="s">
        <v>77</v>
      </c>
      <c r="C28" s="7" t="s">
        <v>95</v>
      </c>
      <c r="D28" s="4" t="s">
        <v>71</v>
      </c>
      <c r="E28" s="4">
        <v>1</v>
      </c>
      <c r="F28" s="3">
        <v>0</v>
      </c>
      <c r="G28" s="2" t="s">
        <v>78</v>
      </c>
    </row>
    <row r="29" spans="1:7" x14ac:dyDescent="0.25">
      <c r="A29" s="21" t="s">
        <v>79</v>
      </c>
      <c r="B29" s="18"/>
      <c r="C29" s="18"/>
      <c r="D29" s="18"/>
      <c r="E29" s="18"/>
      <c r="F29" s="5">
        <f>SUM(F26:F28)</f>
        <v>200000</v>
      </c>
      <c r="G29" s="6"/>
    </row>
    <row r="31" spans="1:7" ht="27.95" customHeight="1" x14ac:dyDescent="0.25">
      <c r="A31" s="27" t="s">
        <v>80</v>
      </c>
      <c r="B31" s="18"/>
      <c r="C31" s="18"/>
      <c r="D31" s="18"/>
      <c r="E31" s="18"/>
      <c r="F31" s="18"/>
      <c r="G31" s="18"/>
    </row>
    <row r="32" spans="1:7" x14ac:dyDescent="0.25">
      <c r="A32" s="19" t="s">
        <v>81</v>
      </c>
      <c r="B32" s="18"/>
      <c r="C32" s="18"/>
      <c r="D32" s="18"/>
      <c r="E32" s="18"/>
      <c r="F32" s="10">
        <f>F10</f>
        <v>960000</v>
      </c>
      <c r="G32" s="11"/>
    </row>
    <row r="33" spans="1:7" x14ac:dyDescent="0.25">
      <c r="A33" s="19" t="s">
        <v>82</v>
      </c>
      <c r="B33" s="18"/>
      <c r="C33" s="18"/>
      <c r="D33" s="18"/>
      <c r="E33" s="18"/>
      <c r="F33" s="10">
        <f>F22</f>
        <v>0</v>
      </c>
      <c r="G33" s="11"/>
    </row>
    <row r="34" spans="1:7" x14ac:dyDescent="0.25">
      <c r="A34" s="19" t="s">
        <v>83</v>
      </c>
      <c r="B34" s="18"/>
      <c r="C34" s="18"/>
      <c r="D34" s="18"/>
      <c r="E34" s="18"/>
      <c r="F34" s="10">
        <f>F29</f>
        <v>200000</v>
      </c>
      <c r="G34" s="11"/>
    </row>
    <row r="35" spans="1:7" x14ac:dyDescent="0.25">
      <c r="A35" s="22" t="s">
        <v>84</v>
      </c>
      <c r="B35" s="18"/>
      <c r="C35" s="18"/>
      <c r="D35" s="18"/>
      <c r="E35" s="18"/>
      <c r="F35" s="5">
        <f>F32+F33+F34</f>
        <v>1160000</v>
      </c>
      <c r="G35" s="6"/>
    </row>
    <row r="36" spans="1:7" x14ac:dyDescent="0.25">
      <c r="A36" s="26" t="s">
        <v>85</v>
      </c>
      <c r="B36" s="18"/>
      <c r="C36" s="18"/>
      <c r="D36" s="18"/>
      <c r="E36" s="18"/>
      <c r="F36" s="12">
        <f>F35*0.1</f>
        <v>116000</v>
      </c>
      <c r="G36" s="13"/>
    </row>
    <row r="37" spans="1:7" ht="27.95" customHeight="1" x14ac:dyDescent="0.25">
      <c r="A37" s="28" t="s">
        <v>86</v>
      </c>
      <c r="B37" s="18"/>
      <c r="C37" s="18"/>
      <c r="D37" s="18"/>
      <c r="E37" s="18"/>
      <c r="F37" s="14">
        <f>F35+F36</f>
        <v>1276000</v>
      </c>
      <c r="G37" s="15"/>
    </row>
    <row r="39" spans="1:7" x14ac:dyDescent="0.25">
      <c r="A39" s="16" t="s">
        <v>87</v>
      </c>
    </row>
    <row r="40" spans="1:7" x14ac:dyDescent="0.25">
      <c r="A40" s="20" t="s">
        <v>88</v>
      </c>
      <c r="B40" s="18"/>
      <c r="C40" s="18"/>
      <c r="D40" s="18"/>
      <c r="E40" s="18"/>
      <c r="F40" s="18"/>
      <c r="G40" s="18"/>
    </row>
    <row r="41" spans="1:7" x14ac:dyDescent="0.25">
      <c r="A41" s="20" t="s">
        <v>89</v>
      </c>
      <c r="B41" s="18"/>
      <c r="C41" s="18"/>
      <c r="D41" s="18"/>
      <c r="E41" s="18"/>
      <c r="F41" s="18"/>
      <c r="G41" s="18"/>
    </row>
    <row r="42" spans="1:7" x14ac:dyDescent="0.25">
      <c r="A42" s="20" t="s">
        <v>90</v>
      </c>
      <c r="B42" s="18"/>
      <c r="C42" s="18"/>
      <c r="D42" s="18"/>
      <c r="E42" s="18"/>
      <c r="F42" s="18"/>
      <c r="G42" s="18"/>
    </row>
    <row r="43" spans="1:7" x14ac:dyDescent="0.25">
      <c r="A43" s="20" t="s">
        <v>91</v>
      </c>
      <c r="B43" s="18"/>
      <c r="C43" s="18"/>
      <c r="D43" s="18"/>
      <c r="E43" s="18"/>
      <c r="F43" s="18"/>
      <c r="G43" s="18"/>
    </row>
    <row r="44" spans="1:7" x14ac:dyDescent="0.25">
      <c r="A44" s="20" t="s">
        <v>92</v>
      </c>
      <c r="B44" s="18"/>
      <c r="C44" s="18"/>
      <c r="D44" s="18"/>
      <c r="E44" s="18"/>
      <c r="F44" s="18"/>
      <c r="G44" s="18"/>
    </row>
  </sheetData>
  <mergeCells count="21">
    <mergeCell ref="A43:G43"/>
    <mergeCell ref="A44:G44"/>
    <mergeCell ref="A40:G40"/>
    <mergeCell ref="A31:G31"/>
    <mergeCell ref="A24:G24"/>
    <mergeCell ref="A37:E37"/>
    <mergeCell ref="A42:G42"/>
    <mergeCell ref="A1:G1"/>
    <mergeCell ref="A33:E33"/>
    <mergeCell ref="A32:E32"/>
    <mergeCell ref="A41:G41"/>
    <mergeCell ref="A22:E22"/>
    <mergeCell ref="A29:E29"/>
    <mergeCell ref="A35:E35"/>
    <mergeCell ref="A3:G3"/>
    <mergeCell ref="A10:E10"/>
    <mergeCell ref="A12:G12"/>
    <mergeCell ref="A2:G2"/>
    <mergeCell ref="A34:E34"/>
    <mergeCell ref="A5:G5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Fuentes</cp:lastModifiedBy>
  <dcterms:created xsi:type="dcterms:W3CDTF">2026-03-04T00:23:38Z</dcterms:created>
  <dcterms:modified xsi:type="dcterms:W3CDTF">2026-03-10T00:00:08Z</dcterms:modified>
</cp:coreProperties>
</file>